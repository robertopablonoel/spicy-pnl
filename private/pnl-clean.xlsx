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&amp;L Statement" state="visible" r:id="rId4"/>
  </sheets>
  <calcPr calcId="171027"/>
</workbook>
</file>

<file path=xl/sharedStrings.xml><?xml version="1.0" encoding="utf-8"?>
<sst xmlns="http://schemas.openxmlformats.org/spreadsheetml/2006/main" count="48" uniqueCount="48">
  <si>
    <t>Profit &amp; Loss Statement (USD)</t>
  </si>
  <si>
    <t>NOTES</t>
  </si>
  <si>
    <t/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</si>
  <si>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</si>
  <si>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</si>
  <si>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</si>
  <si>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</si>
  <si>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</si>
  <si>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</si>
  <si>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</si>
  <si>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</si>
  <si>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</si>
  <si>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</si>
  <si>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</si>
  <si>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</si>
  <si>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</si>
  <si>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2024</t>
  </si>
  <si>
    <t>2025</t>
  </si>
  <si>
    <t>TTM</t>
  </si>
  <si>
    <t>Revenue</t>
  </si>
  <si>
    <t>Gross Sales</t>
  </si>
  <si>
    <t>Shipping Income</t>
  </si>
  <si>
    <t>Discounts</t>
  </si>
  <si>
    <t>Refunds</t>
  </si>
  <si>
    <t>TOTAL REVENUE</t>
  </si>
  <si>
    <t>Cost Of Sales</t>
  </si>
  <si>
    <t>Paid Traffic - Google Ads</t>
  </si>
  <si>
    <t>Paid Traffic - Facebook Ads</t>
  </si>
  <si>
    <t>Paid Traffic - Other</t>
  </si>
  <si>
    <t>Cost of Goods Sold (COGS)</t>
  </si>
  <si>
    <t>Processing Fees</t>
  </si>
  <si>
    <t>Shipping and Delivery</t>
  </si>
  <si>
    <t>Total Cost Of Sales</t>
  </si>
  <si>
    <t>GROSS PROFIT</t>
  </si>
  <si>
    <t>Operating Expenses</t>
  </si>
  <si>
    <t>Chargebacks</t>
  </si>
  <si>
    <t>Affiliate Program (Payouts)</t>
  </si>
  <si>
    <t>Contractors</t>
  </si>
  <si>
    <t>Software</t>
  </si>
  <si>
    <t>Marketing Agencies</t>
  </si>
  <si>
    <t>Accounting</t>
  </si>
  <si>
    <t>Other</t>
  </si>
  <si>
    <t>Total Operating Expenses</t>
  </si>
  <si>
    <t>TOTAL EXPENSES</t>
  </si>
  <si>
    <t>Add Backs (Discretionary Expenses)</t>
  </si>
  <si>
    <t>Total Add Back Expenses</t>
  </si>
  <si>
    <t>EXPENSES AFTER ADD BACKS</t>
  </si>
  <si>
    <t>NET INCOME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</si>
</sst>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(#,##0);&quot;&quot;"/>
  </numFmts>
  <fonts count="3" x14ac:knownFonts="1">
    <font>
      <color theme="1"/>
      <family val="2"/>
      <scheme val="minor"/>
      <sz val="11"/>
      <name val="Calibri"/>
    </font>
    <font>
      <b/>
      <sz val="12"/>
    </font>
    <font>
      <b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164" fontId="0" fillId="0" borderId="0" xfId="0" applyNumberForma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workbookViewId="0">
      <pane xSplit="2" ySplit="3" topLeftCell="C4" activePane="bottomRight" state="frozen"/>
      <selection pane="bottomRight"/>
    </sheetView>
  </sheetViews>
  <sheetFormatPr defaultRowHeight="15" outlineLevelRow="0" outlineLevelCol="0" x14ac:dyDescent="55"/>
  <cols>
    <col min="1" max="1" width="20" customWidth="1"/>
    <col min="2" max="2" width="32" customWidth="1"/>
    <col min="3" max="18" width="11" customWidth="1"/>
  </cols>
  <sheetData>
    <row r="1" spans="3:18" x14ac:dyDescent="0.25"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3" spans="1:18" x14ac:dyDescent="0.25">
      <c r="A3" s="2" t="s">
        <v>1</v>
      </c>
      <c r="B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</row>
    <row r="5" spans="2:2" x14ac:dyDescent="0.25">
      <c r="B5" s="2" t="s">
        <v>19</v>
      </c>
    </row>
    <row r="6" spans="2:18" x14ac:dyDescent="0.25">
      <c r="B6" t="s">
        <v>20</v>
      </c>
      <c r="C6" s="4">
        <v>87304.36</v>
      </c>
      <c r="D6" s="4">
        <v>72486.71</v>
      </c>
      <c r="E6" s="4">
        <v>123973.27</v>
      </c>
      <c r="F6" s="4">
        <v>81056.4</v>
      </c>
      <c r="G6" s="4">
        <v>157407.15</v>
      </c>
      <c r="H6" s="4">
        <v>291994.58</v>
      </c>
      <c r="I6" s="4">
        <v>346414.83</v>
      </c>
      <c r="J6" s="4">
        <v>286922.67</v>
      </c>
      <c r="K6" s="4">
        <v>210052.74</v>
      </c>
      <c r="L6" s="4">
        <v>198865.08</v>
      </c>
      <c r="M6" s="4">
        <v>294307.45</v>
      </c>
      <c r="N6" s="4">
        <v>598732.4</v>
      </c>
      <c r="O6" s="4"/>
      <c r="P6" s="4">
        <f>C6</f>
      </c>
      <c r="Q6" s="4">
        <f>SUM(D6:O6)</f>
      </c>
      <c r="R6" s="4">
        <f>SUM(C6:N6)</f>
      </c>
    </row>
    <row r="7" spans="2:18" x14ac:dyDescent="0.25">
      <c r="B7" t="s">
        <v>21</v>
      </c>
      <c r="C7" s="4">
        <v>8829.8</v>
      </c>
      <c r="D7" s="4">
        <v>6174</v>
      </c>
      <c r="E7" s="4">
        <v>12147.1</v>
      </c>
      <c r="F7" s="4">
        <v>7207.9</v>
      </c>
      <c r="G7" s="4">
        <v>13783.7</v>
      </c>
      <c r="H7" s="4">
        <v>21535.5</v>
      </c>
      <c r="I7" s="4">
        <v>25705.4</v>
      </c>
      <c r="J7" s="4">
        <v>20129.2</v>
      </c>
      <c r="K7" s="4">
        <v>15969.1</v>
      </c>
      <c r="L7" s="4">
        <v>16635.5</v>
      </c>
      <c r="M7" s="4">
        <v>25193.63</v>
      </c>
      <c r="N7" s="4">
        <v>39659.04</v>
      </c>
      <c r="O7" s="4"/>
      <c r="P7" s="4">
        <f>C7</f>
      </c>
      <c r="Q7" s="4">
        <f>SUM(D7:O7)</f>
      </c>
      <c r="R7" s="4">
        <f>SUM(C7:N7)</f>
      </c>
    </row>
    <row r="8" spans="2:18" x14ac:dyDescent="0.25">
      <c r="B8" t="s">
        <v>22</v>
      </c>
      <c r="C8" s="4">
        <v>-8822.15</v>
      </c>
      <c r="D8" s="4">
        <v>-6932.28</v>
      </c>
      <c r="E8" s="4">
        <v>-13825.25</v>
      </c>
      <c r="F8" s="4">
        <v>-9565.44</v>
      </c>
      <c r="G8" s="4">
        <v>-19579.35</v>
      </c>
      <c r="H8" s="4">
        <v>-37112.78</v>
      </c>
      <c r="I8" s="4">
        <v>-47015.69</v>
      </c>
      <c r="J8" s="4">
        <v>-53229.06</v>
      </c>
      <c r="K8" s="4">
        <v>-32955.84</v>
      </c>
      <c r="L8" s="4">
        <v>-26522.65</v>
      </c>
      <c r="M8" s="4">
        <v>-38933.34</v>
      </c>
      <c r="N8" s="4">
        <v>-143321.35</v>
      </c>
      <c r="O8" s="4"/>
      <c r="P8" s="4">
        <f>C8</f>
      </c>
      <c r="Q8" s="4">
        <f>SUM(D8:O8)</f>
      </c>
      <c r="R8" s="4">
        <f>SUM(C8:N8)</f>
      </c>
    </row>
    <row r="9" spans="2:18" x14ac:dyDescent="0.25">
      <c r="B9" t="s">
        <v>23</v>
      </c>
      <c r="C9" s="4">
        <v>-1432.06</v>
      </c>
      <c r="D9" s="4">
        <v>-7185.57</v>
      </c>
      <c r="E9" s="4">
        <v>-2615.87</v>
      </c>
      <c r="F9" s="4">
        <v>-1723.52</v>
      </c>
      <c r="G9" s="4">
        <v>-2750.51</v>
      </c>
      <c r="H9" s="4">
        <v>-23793.02</v>
      </c>
      <c r="I9" s="4">
        <v>-48327.59</v>
      </c>
      <c r="J9" s="4">
        <v>-46411.3</v>
      </c>
      <c r="K9" s="4">
        <v>-12632.22</v>
      </c>
      <c r="L9" s="4">
        <v>-8591.81</v>
      </c>
      <c r="M9" s="4">
        <v>-11943.99</v>
      </c>
      <c r="N9" s="4">
        <v>-19982.96</v>
      </c>
      <c r="O9" s="4"/>
      <c r="P9" s="4">
        <f>C9</f>
      </c>
      <c r="Q9" s="4">
        <f>SUM(D9:O9)</f>
      </c>
      <c r="R9" s="4">
        <f>SUM(C9:N9)</f>
      </c>
    </row>
    <row r="10" spans="2:18" x14ac:dyDescent="0.25">
      <c r="B10" s="2" t="s">
        <v>24</v>
      </c>
      <c r="C10" s="5">
        <f>C6+C7+C8+C9</f>
      </c>
      <c r="D10" s="5">
        <f>D6+D7+D8+D9</f>
      </c>
      <c r="E10" s="5">
        <f>E6+E7+E8+E9</f>
      </c>
      <c r="F10" s="5">
        <f>F6+F7+F8+F9</f>
      </c>
      <c r="G10" s="5">
        <f>G6+G7+G8+G9</f>
      </c>
      <c r="H10" s="5">
        <f>H6+H7+H8+H9</f>
      </c>
      <c r="I10" s="5">
        <f>I6+I7+I8+I9</f>
      </c>
      <c r="J10" s="5">
        <f>J6+J7+J8+J9</f>
      </c>
      <c r="K10" s="5">
        <f>K6+K7+K8+K9</f>
      </c>
      <c r="L10" s="5">
        <f>L6+L7+L8+L9</f>
      </c>
      <c r="M10" s="5">
        <f>M6+M7+M8+M9</f>
      </c>
      <c r="N10" s="5">
        <f>N6+N7+N8+N9</f>
      </c>
      <c r="O10" s="5">
        <f>O6+O7+O8+O9</f>
      </c>
      <c r="P10" s="5">
        <f>P6+P7+P8+P9</f>
      </c>
      <c r="Q10" s="5">
        <f>Q6+Q7+Q8+Q9</f>
      </c>
      <c r="R10" s="5">
        <f>R6+R7+R8+R9</f>
      </c>
    </row>
    <row r="12" spans="2:2" x14ac:dyDescent="0.25">
      <c r="B12" s="2" t="s">
        <v>25</v>
      </c>
    </row>
    <row r="13" spans="2:18" x14ac:dyDescent="0.25">
      <c r="B13" t="s">
        <v>26</v>
      </c>
      <c r="C13" s="4"/>
      <c r="D13" s="4"/>
      <c r="E13" s="4"/>
      <c r="F13" s="4"/>
      <c r="G13" s="4"/>
      <c r="H13" s="4"/>
      <c r="I13" s="4">
        <v>70.53</v>
      </c>
      <c r="J13" s="4">
        <v>1358</v>
      </c>
      <c r="K13" s="4">
        <v>1651.19</v>
      </c>
      <c r="L13" s="4">
        <v>9066.77</v>
      </c>
      <c r="M13" s="4">
        <v>7581.98</v>
      </c>
      <c r="N13" s="4">
        <v>12883.859999999999</v>
      </c>
      <c r="O13" s="4"/>
      <c r="P13" s="4">
        <f>C13</f>
      </c>
      <c r="Q13" s="4">
        <f>SUM(D13:O13)</f>
      </c>
      <c r="R13" s="4">
        <f>SUM(C13:N13)</f>
      </c>
    </row>
    <row r="14" spans="2:18" x14ac:dyDescent="0.25">
      <c r="B14" t="s">
        <v>27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>
        <v>5998</v>
      </c>
      <c r="N14" s="4">
        <v>25233</v>
      </c>
      <c r="O14" s="4"/>
      <c r="P14" s="4">
        <f>C14</f>
      </c>
      <c r="Q14" s="4">
        <f>SUM(D14:O14)</f>
      </c>
      <c r="R14" s="4">
        <f>SUM(C14:N14)</f>
      </c>
    </row>
    <row r="15" spans="2:18" x14ac:dyDescent="0.25">
      <c r="B15" t="s">
        <v>28</v>
      </c>
      <c r="C15" s="4">
        <v>143.47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>
        <f>C15</f>
      </c>
      <c r="Q15" s="4">
        <f>SUM(D15:O15)</f>
      </c>
      <c r="R15" s="4">
        <f>SUM(C15:N15)</f>
      </c>
    </row>
    <row r="16" spans="2:18" x14ac:dyDescent="0.25">
      <c r="B16" t="s">
        <v>29</v>
      </c>
      <c r="C16" s="4">
        <v>11933</v>
      </c>
      <c r="D16" s="4">
        <v>9640.2</v>
      </c>
      <c r="E16" s="4">
        <v>16864.96</v>
      </c>
      <c r="F16" s="4">
        <v>11004.09</v>
      </c>
      <c r="G16" s="4">
        <v>21388.44</v>
      </c>
      <c r="H16" s="4">
        <v>41604.92</v>
      </c>
      <c r="I16" s="4">
        <v>23612.100000000002</v>
      </c>
      <c r="J16" s="4">
        <v>38360.93</v>
      </c>
      <c r="K16" s="4">
        <v>27494.81</v>
      </c>
      <c r="L16" s="4">
        <v>26629.53</v>
      </c>
      <c r="M16" s="4">
        <v>40372.76</v>
      </c>
      <c r="N16" s="4">
        <v>85199.62</v>
      </c>
      <c r="O16" s="4"/>
      <c r="P16" s="4">
        <f>C16</f>
      </c>
      <c r="Q16" s="4">
        <f>SUM(D16:O16)</f>
      </c>
      <c r="R16" s="4">
        <f>SUM(C16:N16)</f>
      </c>
    </row>
    <row r="17" spans="2:18" x14ac:dyDescent="0.25">
      <c r="B17" t="s">
        <v>30</v>
      </c>
      <c r="C17" s="4">
        <v>4603.389999999999</v>
      </c>
      <c r="D17" s="4">
        <v>3800.560000000002</v>
      </c>
      <c r="E17" s="4">
        <v>5203.8</v>
      </c>
      <c r="F17" s="4">
        <v>4918.97</v>
      </c>
      <c r="G17" s="4">
        <v>5364.530000000001</v>
      </c>
      <c r="H17" s="4">
        <v>8692.549999999994</v>
      </c>
      <c r="I17" s="4">
        <v>15250.36</v>
      </c>
      <c r="J17" s="4">
        <v>11616.619999999999</v>
      </c>
      <c r="K17" s="4">
        <v>11735.310000000001</v>
      </c>
      <c r="L17" s="4">
        <v>9887.109999999999</v>
      </c>
      <c r="M17" s="4">
        <v>10876.449999999999</v>
      </c>
      <c r="N17" s="4">
        <v>17238.95</v>
      </c>
      <c r="O17" s="4"/>
      <c r="P17" s="4">
        <f>C17</f>
      </c>
      <c r="Q17" s="4">
        <f>SUM(D17:O17)</f>
      </c>
      <c r="R17" s="4">
        <f>SUM(C17:N17)</f>
      </c>
    </row>
    <row r="18" spans="2:18" x14ac:dyDescent="0.25">
      <c r="B18" t="s">
        <v>31</v>
      </c>
      <c r="C18" s="4">
        <v>13449.53</v>
      </c>
      <c r="D18" s="4">
        <v>11819</v>
      </c>
      <c r="E18" s="4">
        <v>19276.97</v>
      </c>
      <c r="F18" s="4">
        <v>12585.9</v>
      </c>
      <c r="G18" s="4">
        <v>24449.08</v>
      </c>
      <c r="H18" s="4">
        <v>47476.67</v>
      </c>
      <c r="I18" s="4">
        <v>79186.39</v>
      </c>
      <c r="J18" s="4">
        <v>52131.21</v>
      </c>
      <c r="K18" s="4">
        <v>34536.89</v>
      </c>
      <c r="L18" s="4">
        <v>31659.4</v>
      </c>
      <c r="M18" s="4">
        <v>56730.51000000001</v>
      </c>
      <c r="N18" s="4">
        <v>84368.74999999999</v>
      </c>
      <c r="O18" s="4"/>
      <c r="P18" s="4">
        <f>C18</f>
      </c>
      <c r="Q18" s="4">
        <f>SUM(D18:O18)</f>
      </c>
      <c r="R18" s="4">
        <f>SUM(C18:N18)</f>
      </c>
    </row>
    <row r="19" spans="2:18" x14ac:dyDescent="0.25">
      <c r="B19" s="2" t="s">
        <v>32</v>
      </c>
      <c r="C19" s="5">
        <f>C13+C14+C15+C16+C17+C18</f>
      </c>
      <c r="D19" s="5">
        <f>D13+D14+D15+D16+D17+D18</f>
      </c>
      <c r="E19" s="5">
        <f>E13+E14+E15+E16+E17+E18</f>
      </c>
      <c r="F19" s="5">
        <f>F13+F14+F15+F16+F17+F18</f>
      </c>
      <c r="G19" s="5">
        <f>G13+G14+G15+G16+G17+G18</f>
      </c>
      <c r="H19" s="5">
        <f>H13+H14+H15+H16+H17+H18</f>
      </c>
      <c r="I19" s="5">
        <f>I13+I14+I15+I16+I17+I18</f>
      </c>
      <c r="J19" s="5">
        <f>J13+J14+J15+J16+J17+J18</f>
      </c>
      <c r="K19" s="5">
        <f>K13+K14+K15+K16+K17+K18</f>
      </c>
      <c r="L19" s="5">
        <f>L13+L14+L15+L16+L17+L18</f>
      </c>
      <c r="M19" s="5">
        <f>M13+M14+M15+M16+M17+M18</f>
      </c>
      <c r="N19" s="5">
        <f>N13+N14+N15+N16+N17+N18</f>
      </c>
      <c r="O19" s="5">
        <f>O13+O14+O15+O16+O17+O18</f>
      </c>
      <c r="P19" s="5">
        <f>P13+P14+P15+P16+P17+P18</f>
      </c>
      <c r="Q19" s="5">
        <f>Q13+Q14+Q15+Q16+Q17+Q18</f>
      </c>
      <c r="R19" s="5">
        <f>R13+R14+R15+R16+R17+R18</f>
      </c>
    </row>
    <row r="21" spans="2:18" x14ac:dyDescent="0.25">
      <c r="B21" s="2" t="s">
        <v>33</v>
      </c>
      <c r="C21" s="5">
        <f>C10-(C19)</f>
      </c>
      <c r="D21" s="5">
        <f>D10-(D19)</f>
      </c>
      <c r="E21" s="5">
        <f>E10-(E19)</f>
      </c>
      <c r="F21" s="5">
        <f>F10-(F19)</f>
      </c>
      <c r="G21" s="5">
        <f>G10-(G19)</f>
      </c>
      <c r="H21" s="5">
        <f>H10-(H19)</f>
      </c>
      <c r="I21" s="5">
        <f>I10-(I19)</f>
      </c>
      <c r="J21" s="5">
        <f>J10-(J19)</f>
      </c>
      <c r="K21" s="5">
        <f>K10-(K19)</f>
      </c>
      <c r="L21" s="5">
        <f>L10-(L19)</f>
      </c>
      <c r="M21" s="5">
        <f>M10-(M19)</f>
      </c>
      <c r="N21" s="5">
        <f>N10-(N19)</f>
      </c>
      <c r="O21" s="5">
        <f>O10-(O19)</f>
      </c>
      <c r="P21" s="5">
        <f>P10-(P19)</f>
      </c>
      <c r="Q21" s="5">
        <f>Q10-(Q19)</f>
      </c>
      <c r="R21" s="5">
        <f>R10-(R19)</f>
      </c>
    </row>
    <row r="23" spans="2:2" x14ac:dyDescent="0.25">
      <c r="B23" s="2" t="s">
        <v>34</v>
      </c>
    </row>
    <row r="24" spans="2:18" x14ac:dyDescent="0.25">
      <c r="B24" t="s">
        <v>35</v>
      </c>
      <c r="C24" s="4">
        <v>122.68</v>
      </c>
      <c r="D24" s="4">
        <v>819.79</v>
      </c>
      <c r="E24" s="4">
        <v>98.87</v>
      </c>
      <c r="F24" s="4">
        <v>118.46</v>
      </c>
      <c r="G24" s="4">
        <v>99.27</v>
      </c>
      <c r="H24" s="4">
        <v>1546.86</v>
      </c>
      <c r="I24" s="4">
        <v>1252.12</v>
      </c>
      <c r="J24" s="4">
        <v>6151.24</v>
      </c>
      <c r="K24" s="4">
        <v>1898.6299999999999</v>
      </c>
      <c r="L24" s="4">
        <v>105.74000000000001</v>
      </c>
      <c r="M24" s="4">
        <v>1092.42</v>
      </c>
      <c r="N24" s="4">
        <v>812.18</v>
      </c>
      <c r="O24" s="4"/>
      <c r="P24" s="4">
        <f>C24</f>
      </c>
      <c r="Q24" s="4">
        <f>SUM(D24:O24)</f>
      </c>
      <c r="R24" s="4">
        <f>SUM(C24:N24)</f>
      </c>
    </row>
    <row r="25" spans="2:18" x14ac:dyDescent="0.25">
      <c r="B25" t="s">
        <v>36</v>
      </c>
      <c r="C25" s="4">
        <v>38251.67</v>
      </c>
      <c r="D25" s="4">
        <v>18683.36</v>
      </c>
      <c r="E25" s="4">
        <v>28630.94</v>
      </c>
      <c r="F25" s="4">
        <v>24300.44</v>
      </c>
      <c r="G25" s="4">
        <v>36894.09</v>
      </c>
      <c r="H25" s="4">
        <v>52543.22</v>
      </c>
      <c r="I25" s="4">
        <v>53568.95</v>
      </c>
      <c r="J25" s="4">
        <v>50351.009999999995</v>
      </c>
      <c r="K25" s="4">
        <v>46150.27</v>
      </c>
      <c r="L25" s="4">
        <v>38076.43999999999</v>
      </c>
      <c r="M25" s="4">
        <v>57446.259999999995</v>
      </c>
      <c r="N25" s="4">
        <v>76094.79000000001</v>
      </c>
      <c r="O25" s="4"/>
      <c r="P25" s="4">
        <f>C25</f>
      </c>
      <c r="Q25" s="4">
        <f>SUM(D25:O25)</f>
      </c>
      <c r="R25" s="4">
        <f>SUM(C25:N25)</f>
      </c>
    </row>
    <row r="26" spans="2:18" x14ac:dyDescent="0.25">
      <c r="B26" t="s">
        <v>37</v>
      </c>
      <c r="C26" s="4">
        <v>-2224.98</v>
      </c>
      <c r="D26" s="4"/>
      <c r="E26" s="4"/>
      <c r="F26" s="4"/>
      <c r="G26" s="4">
        <v>735</v>
      </c>
      <c r="H26" s="4">
        <v>620</v>
      </c>
      <c r="I26" s="4">
        <v>920</v>
      </c>
      <c r="J26" s="4">
        <v>2900</v>
      </c>
      <c r="K26" s="4">
        <v>3664</v>
      </c>
      <c r="L26" s="4">
        <v>3208.44</v>
      </c>
      <c r="M26" s="4">
        <v>3729.91</v>
      </c>
      <c r="N26" s="4">
        <v>6987.9400000000005</v>
      </c>
      <c r="O26" s="4"/>
      <c r="P26" s="4">
        <f>C26</f>
      </c>
      <c r="Q26" s="4">
        <f>SUM(D26:O26)</f>
      </c>
      <c r="R26" s="4">
        <f>SUM(C26:N26)</f>
      </c>
    </row>
    <row r="27" spans="2:18" x14ac:dyDescent="0.25">
      <c r="B27" t="s">
        <v>38</v>
      </c>
      <c r="C27" s="4">
        <v>1511.83</v>
      </c>
      <c r="D27" s="4">
        <v>3291.78</v>
      </c>
      <c r="E27" s="4">
        <v>3888.7299999999996</v>
      </c>
      <c r="F27" s="4">
        <v>3348.66</v>
      </c>
      <c r="G27" s="4">
        <v>3235.01</v>
      </c>
      <c r="H27" s="4">
        <v>7793.94</v>
      </c>
      <c r="I27" s="4">
        <v>8658.289999999997</v>
      </c>
      <c r="J27" s="4">
        <v>12340.900000000003</v>
      </c>
      <c r="K27" s="4">
        <v>11260.479999999998</v>
      </c>
      <c r="L27" s="4">
        <v>10503.17</v>
      </c>
      <c r="M27" s="4">
        <v>11459.839999999998</v>
      </c>
      <c r="N27" s="4">
        <v>11203.020000000002</v>
      </c>
      <c r="O27" s="4"/>
      <c r="P27" s="4">
        <f>C27</f>
      </c>
      <c r="Q27" s="4">
        <f>SUM(D27:O27)</f>
      </c>
      <c r="R27" s="4">
        <f>SUM(C27:N27)</f>
      </c>
    </row>
    <row r="28" spans="2:18" x14ac:dyDescent="0.25">
      <c r="B28" t="s">
        <v>39</v>
      </c>
      <c r="C28" s="4"/>
      <c r="D28" s="4">
        <v>236.90000000000003</v>
      </c>
      <c r="E28" s="4">
        <v>945</v>
      </c>
      <c r="F28" s="4">
        <v>2000</v>
      </c>
      <c r="G28" s="4">
        <v>345.88</v>
      </c>
      <c r="H28" s="4">
        <v>14580</v>
      </c>
      <c r="I28" s="4">
        <v>7000</v>
      </c>
      <c r="J28" s="4">
        <v>18520.46</v>
      </c>
      <c r="K28" s="4">
        <v>7000</v>
      </c>
      <c r="L28" s="4">
        <v>2500</v>
      </c>
      <c r="M28" s="4">
        <v>9442.78</v>
      </c>
      <c r="N28" s="4">
        <v>15452.69</v>
      </c>
      <c r="O28" s="4"/>
      <c r="P28" s="4">
        <f>C28</f>
      </c>
      <c r="Q28" s="4">
        <f>SUM(D28:O28)</f>
      </c>
      <c r="R28" s="4">
        <f>SUM(C28:N28)</f>
      </c>
    </row>
    <row r="29" spans="2:18" x14ac:dyDescent="0.25">
      <c r="B29" t="s">
        <v>40</v>
      </c>
      <c r="C29" s="4"/>
      <c r="D29" s="4">
        <v>2100</v>
      </c>
      <c r="E29" s="4">
        <v>969.2</v>
      </c>
      <c r="F29" s="4">
        <v>969.2</v>
      </c>
      <c r="G29" s="4">
        <v>319.2</v>
      </c>
      <c r="H29" s="4">
        <v>969.2</v>
      </c>
      <c r="I29" s="4">
        <v>3768.45</v>
      </c>
      <c r="J29" s="4">
        <v>3118.45</v>
      </c>
      <c r="K29" s="4">
        <v>3285.2</v>
      </c>
      <c r="L29" s="4">
        <v>2594.5</v>
      </c>
      <c r="M29" s="4">
        <v>3285.2</v>
      </c>
      <c r="N29" s="4">
        <v>559.2</v>
      </c>
      <c r="O29" s="4"/>
      <c r="P29" s="4">
        <f>C29</f>
      </c>
      <c r="Q29" s="4">
        <f>SUM(D29:O29)</f>
      </c>
      <c r="R29" s="4">
        <f>SUM(C29:N29)</f>
      </c>
    </row>
    <row r="30" spans="2:18" x14ac:dyDescent="0.25">
      <c r="B30" t="s">
        <v>41</v>
      </c>
      <c r="C30" s="4">
        <v>2385.3</v>
      </c>
      <c r="D30" s="4">
        <v>118</v>
      </c>
      <c r="E30" s="4">
        <v>6358.569999999999</v>
      </c>
      <c r="F30" s="4">
        <v>957.9200000000001</v>
      </c>
      <c r="G30" s="4">
        <v>2281.65</v>
      </c>
      <c r="H30" s="4">
        <v>6297.21</v>
      </c>
      <c r="I30" s="4">
        <v>15675.25</v>
      </c>
      <c r="J30" s="4">
        <v>20824.509999999995</v>
      </c>
      <c r="K30" s="4">
        <v>7091.26</v>
      </c>
      <c r="L30" s="4">
        <v>5259.010000000001</v>
      </c>
      <c r="M30" s="4">
        <v>3351.0899999999992</v>
      </c>
      <c r="N30" s="4">
        <v>3987.62</v>
      </c>
      <c r="O30" s="4"/>
      <c r="P30" s="4">
        <f>C30</f>
      </c>
      <c r="Q30" s="4">
        <f>SUM(D30:O30)</f>
      </c>
      <c r="R30" s="4">
        <f>SUM(C30:N30)</f>
      </c>
    </row>
    <row r="31" spans="2:18" x14ac:dyDescent="0.25">
      <c r="B31" s="2" t="s">
        <v>42</v>
      </c>
      <c r="C31" s="5">
        <f>C24+C25+C26+C27+C28+C29+C30</f>
      </c>
      <c r="D31" s="5">
        <f>D24+D25+D26+D27+D28+D29+D30</f>
      </c>
      <c r="E31" s="5">
        <f>E24+E25+E26+E27+E28+E29+E30</f>
      </c>
      <c r="F31" s="5">
        <f>F24+F25+F26+F27+F28+F29+F30</f>
      </c>
      <c r="G31" s="5">
        <f>G24+G25+G26+G27+G28+G29+G30</f>
      </c>
      <c r="H31" s="5">
        <f>H24+H25+H26+H27+H28+H29+H30</f>
      </c>
      <c r="I31" s="5">
        <f>I24+I25+I26+I27+I28+I29+I30</f>
      </c>
      <c r="J31" s="5">
        <f>J24+J25+J26+J27+J28+J29+J30</f>
      </c>
      <c r="K31" s="5">
        <f>K24+K25+K26+K27+K28+K29+K30</f>
      </c>
      <c r="L31" s="5">
        <f>L24+L25+L26+L27+L28+L29+L30</f>
      </c>
      <c r="M31" s="5">
        <f>M24+M25+M26+M27+M28+M29+M30</f>
      </c>
      <c r="N31" s="5">
        <f>N24+N25+N26+N27+N28+N29+N30</f>
      </c>
      <c r="O31" s="5">
        <f>O24+O25+O26+O27+O28+O29+O30</f>
      </c>
      <c r="P31" s="5">
        <f>P24+P25+P26+P27+P28+P29+P30</f>
      </c>
      <c r="Q31" s="5">
        <f>Q24+Q25+Q26+Q27+Q28+Q29+Q30</f>
      </c>
      <c r="R31" s="5">
        <f>R24+R25+R26+R27+R28+R29+R30</f>
      </c>
    </row>
    <row r="33" spans="2:18" x14ac:dyDescent="0.25">
      <c r="B33" s="2" t="s">
        <v>43</v>
      </c>
      <c r="C33" s="5">
        <f>C19+C31</f>
      </c>
      <c r="D33" s="5">
        <f>D19+D31</f>
      </c>
      <c r="E33" s="5">
        <f>E19+E31</f>
      </c>
      <c r="F33" s="5">
        <f>F19+F31</f>
      </c>
      <c r="G33" s="5">
        <f>G19+G31</f>
      </c>
      <c r="H33" s="5">
        <f>H19+H31</f>
      </c>
      <c r="I33" s="5">
        <f>I19+I31</f>
      </c>
      <c r="J33" s="5">
        <f>J19+J31</f>
      </c>
      <c r="K33" s="5">
        <f>K19+K31</f>
      </c>
      <c r="L33" s="5">
        <f>L19+L31</f>
      </c>
      <c r="M33" s="5">
        <f>M19+M31</f>
      </c>
      <c r="N33" s="5">
        <f>N19+N31</f>
      </c>
      <c r="O33" s="5">
        <f>O19+O31</f>
      </c>
      <c r="P33" s="5">
        <f>P19+P31</f>
      </c>
      <c r="Q33" s="5">
        <f>Q19+Q31</f>
      </c>
      <c r="R33" s="5">
        <f>R19+R31</f>
      </c>
    </row>
    <row r="35" spans="2:2" x14ac:dyDescent="0.25">
      <c r="B35" s="2" t="s">
        <v>44</v>
      </c>
    </row>
    <row r="36" spans="2:18" x14ac:dyDescent="0.25">
      <c r="B36" t="s">
        <v>45</v>
      </c>
      <c r="C36" s="4"/>
      <c r="D36" s="4">
        <v>504.45000000000005</v>
      </c>
      <c r="E36" s="4">
        <v>7423.75</v>
      </c>
      <c r="F36" s="4">
        <v>2852.06</v>
      </c>
      <c r="G36" s="4">
        <v>1992.96</v>
      </c>
      <c r="H36" s="4">
        <v>15715.81</v>
      </c>
      <c r="I36" s="4">
        <v>38726.26</v>
      </c>
      <c r="J36" s="4">
        <v>36858.57999999998</v>
      </c>
      <c r="K36" s="4">
        <v>9407.139999999998</v>
      </c>
      <c r="L36" s="4">
        <v>5058.580000000001</v>
      </c>
      <c r="M36" s="4">
        <v>5605.119999999999</v>
      </c>
      <c r="N36" s="4">
        <v>12267.680000000002</v>
      </c>
      <c r="O36" s="4"/>
      <c r="P36" s="4">
        <f>C36</f>
      </c>
      <c r="Q36" s="4">
        <f>SUM(D36:O36)</f>
      </c>
      <c r="R36" s="4">
        <f>SUM(C36:N36)</f>
      </c>
    </row>
    <row r="38" spans="2:18" x14ac:dyDescent="0.25">
      <c r="B38" s="2" t="s">
        <v>46</v>
      </c>
      <c r="C38" s="5">
        <f>C33-(C36)</f>
      </c>
      <c r="D38" s="5">
        <f>D33-(D36)</f>
      </c>
      <c r="E38" s="5">
        <f>E33-(E36)</f>
      </c>
      <c r="F38" s="5">
        <f>F33-(F36)</f>
      </c>
      <c r="G38" s="5">
        <f>G33-(G36)</f>
      </c>
      <c r="H38" s="5">
        <f>H33-(H36)</f>
      </c>
      <c r="I38" s="5">
        <f>I33-(I36)</f>
      </c>
      <c r="J38" s="5">
        <f>J33-(J36)</f>
      </c>
      <c r="K38" s="5">
        <f>K33-(K36)</f>
      </c>
      <c r="L38" s="5">
        <f>L33-(L36)</f>
      </c>
      <c r="M38" s="5">
        <f>M33-(M36)</f>
      </c>
      <c r="N38" s="5">
        <f>N33-(N36)</f>
      </c>
      <c r="O38" s="5">
        <f>O33-(O36)</f>
      </c>
      <c r="P38" s="5">
        <f>P33-(P36)</f>
      </c>
      <c r="Q38" s="5">
        <f>Q33-(Q36)</f>
      </c>
      <c r="R38" s="5">
        <f>R33-(R36)</f>
      </c>
    </row>
    <row r="40" spans="2:18" x14ac:dyDescent="0.25">
      <c r="B40" s="2" t="s">
        <v>47</v>
      </c>
      <c r="C40" s="5">
        <f>C10-(C38)</f>
      </c>
      <c r="D40" s="5">
        <f>D10-(D38)</f>
      </c>
      <c r="E40" s="5">
        <f>E10-(E38)</f>
      </c>
      <c r="F40" s="5">
        <f>F10-(F38)</f>
      </c>
      <c r="G40" s="5">
        <f>G10-(G38)</f>
      </c>
      <c r="H40" s="5">
        <f>H10-(H38)</f>
      </c>
      <c r="I40" s="5">
        <f>I10-(I38)</f>
      </c>
      <c r="J40" s="5">
        <f>J10-(J38)</f>
      </c>
      <c r="K40" s="5">
        <f>K10-(K38)</f>
      </c>
      <c r="L40" s="5">
        <f>L10-(L38)</f>
      </c>
      <c r="M40" s="5">
        <f>M10-(M38)</f>
      </c>
      <c r="N40" s="5">
        <f>N10-(N38)</f>
      </c>
      <c r="O40" s="5">
        <f>O10-(O38)</f>
      </c>
      <c r="P40" s="5">
        <f>P10-(P38)</f>
      </c>
      <c r="Q40" s="5">
        <f>Q10-(Q38)</f>
      </c>
      <c r="R40" s="5">
        <f>R10-(R38)</f>
      </c>
    </row>
  </sheetData>
  <mergeCells count="1">
    <mergeCell ref="C1:R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 Statement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2025-12-05T21:51:44Z</dcterms:created>
  <dcterms:modified xsi:type="dcterms:W3CDTF">2025-12-05T21:51:44Z</dcterms:modified>
</cp:coreProperties>
</file>